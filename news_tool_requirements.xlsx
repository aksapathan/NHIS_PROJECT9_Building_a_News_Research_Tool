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Summary" sheetId="2" state="visible" r:id="rId4"/>
  </sheets>
  <definedNames>
    <definedName function="false" hidden="true" localSheetId="0" name="_xlnm._FilterDatabase" vbProcedure="false">Requirements!$A$1:$G$13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<sst xmlns="http://schemas.openxmlformats.org/spreadsheetml/2006/main" count="95" uniqueCount="66">
  <si>
    <t xml:space="preserve">PDF Task</t>
  </si>
  <si>
    <t xml:space="preserve">Phase</t>
  </si>
  <si>
    <t xml:space="preserve">Requirement</t>
  </si>
  <si>
    <t xml:space="preserve">Type</t>
  </si>
  <si>
    <t xml:space="preserve">Status</t>
  </si>
  <si>
    <t xml:space="preserve">What was built / notes</t>
  </si>
  <si>
    <t xml:space="preserve">Your action</t>
  </si>
  <si>
    <t xml:space="preserve">1.1</t>
  </si>
  <si>
    <t xml:space="preserve">Phase 1: Environment Setup</t>
  </si>
  <si>
    <t xml:space="preserve">Install required libraries</t>
  </si>
  <si>
    <t xml:space="preserve">Mandatory</t>
  </si>
  <si>
    <t xml:space="preserve">Done</t>
  </si>
  <si>
    <t xml:space="preserve">requirements.txt lists langchain, openai, streamlit, newsapi-python plus langchain-openai and python-dotenv.</t>
  </si>
  <si>
    <t xml:space="preserve">1.2</t>
  </si>
  <si>
    <t xml:space="preserve">Obtain API keys (OpenAI, NewsAPI)</t>
  </si>
  <si>
    <t xml:space="preserve">Keys load from .env; README links to both key pages. Keys are not hardcoded.</t>
  </si>
  <si>
    <t xml:space="preserve">Add your own OpenAI and NewsAPI keys to .env.</t>
  </si>
  <si>
    <t xml:space="preserve">2.1 / 2.2</t>
  </si>
  <si>
    <t xml:space="preserve">Phase 2: LangChain Configuration</t>
  </si>
  <si>
    <t xml:space="preserve">Create langchain_config.py, initialise OpenAI and prompt</t>
  </si>
  <si>
    <t xml:space="preserve">Prompt follows the PDF, with more detailed instructions. Uses modern langchain-openai instead of the deprecated LLMChain import.</t>
  </si>
  <si>
    <t xml:space="preserve">3.1 - 3.3</t>
  </si>
  <si>
    <t xml:space="preserve">Phase 3: Streamlit Interface</t>
  </si>
  <si>
    <t xml:space="preserve">Create app.py, basic UI, run command</t>
  </si>
  <si>
    <t xml:space="preserve">Run with: streamlit run app.py</t>
  </si>
  <si>
    <t xml:space="preserve">4.1</t>
  </si>
  <si>
    <t xml:space="preserve">Phase 4: Enhancing the Tool</t>
  </si>
  <si>
    <t xml:space="preserve">NewsAPI integration (get_news_articles, summarize_articles, get_summary, 2-variable prompt)</t>
  </si>
  <si>
    <t xml:space="preserve">All three functions kept under the PDF names; articles now include source, date and title.</t>
  </si>
  <si>
    <t xml:space="preserve">4.2</t>
  </si>
  <si>
    <t xml:space="preserve">Update Streamlit app to use enhanced config</t>
  </si>
  <si>
    <t xml:space="preserve">app.py calls research(), which combines get_summary and llm_chain in one step.</t>
  </si>
  <si>
    <t xml:space="preserve">5.1 / 5.2</t>
  </si>
  <si>
    <t xml:space="preserve">Phase 5: Testing and Validation</t>
  </si>
  <si>
    <t xml:space="preserve">Test basic functionality; validate summary accuracy</t>
  </si>
  <si>
    <t xml:space="preserve">Partial</t>
  </si>
  <si>
    <t xml:space="preserve">19 mocked unit tests pass and the Streamlit flow (login, search, save, trends) was tested. smoke_test.py added for the real end-to-end check. No real OpenAI/NewsAPI call was made here (no OpenAI key, restricted network).</t>
  </si>
  <si>
    <t xml:space="preserve">Run: python smoke_test.py "your query" with your keys and compare the summary against the printed source articles.</t>
  </si>
  <si>
    <t xml:space="preserve">6.1</t>
  </si>
  <si>
    <t xml:space="preserve">Phase 6: Documentation</t>
  </si>
  <si>
    <t xml:space="preserve">Comments, documentation and README</t>
  </si>
  <si>
    <t xml:space="preserve">Docstrings in the code; README covers setup, usage, testing and limitations.</t>
  </si>
  <si>
    <t xml:space="preserve">6.2</t>
  </si>
  <si>
    <t xml:space="preserve">requirements.txt, final structure, clean up unused code</t>
  </si>
  <si>
    <t xml:space="preserve">requirements.txt and structure finalised; leftover line removed from app.py.</t>
  </si>
  <si>
    <t xml:space="preserve">7.1</t>
  </si>
  <si>
    <t xml:space="preserve">Optional Enhancements</t>
  </si>
  <si>
    <t xml:space="preserve">Add user authentication</t>
  </si>
  <si>
    <t xml:space="preserve">Optional</t>
  </si>
  <si>
    <t xml:space="preserve">Login screen (auth.py): username and password from .env, plain or SHA-256 hashed, constant-time comparison.</t>
  </si>
  <si>
    <t xml:space="preserve">Set AUTH_USERNAME and AUTH_PASSWORD in .env.</t>
  </si>
  <si>
    <t xml:space="preserve">7.2</t>
  </si>
  <si>
    <t xml:space="preserve">Enhance UI/UX</t>
  </si>
  <si>
    <t xml:space="preserve">Sidebar settings, spinner, expandable source articles.</t>
  </si>
  <si>
    <t xml:space="preserve">7.3</t>
  </si>
  <si>
    <t xml:space="preserve">Extend functionality (save queries, export, historical analysis)</t>
  </si>
  <si>
    <t xml:space="preserve">Saved queries in SQLite (save, reopen, delete, export) and a Trends tab with sentiment over time, distribution and history table.</t>
  </si>
  <si>
    <t xml:space="preserve">Legend: blue text in the Status column is editable (dropdown: Done / Partial / Not done). The Summary sheet updates automatically.</t>
  </si>
  <si>
    <t xml:space="preserve">News Research Tool: requirements status</t>
  </si>
  <si>
    <t xml:space="preserve">Group</t>
  </si>
  <si>
    <t xml:space="preserve">Not done</t>
  </si>
  <si>
    <t xml:space="preserve">Total</t>
  </si>
  <si>
    <t xml:space="preserve">All requirements</t>
  </si>
  <si>
    <t xml:space="preserve">Completion (Done / Total)</t>
  </si>
  <si>
    <t xml:space="preserve">Mandatory completion (Done / Total)</t>
  </si>
  <si>
    <t xml:space="preserve">Note: 'Partial' items count as not yet complete. Source: status judgements from the previous answer in this conversation.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</si>
</sst>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62"/>
    <col collapsed="false" customWidth="true" hidden="false" outlineLevel="0" max="7" min="7" style="0" width="4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/>
    </row>
    <row r="3" customFormat="false" ht="23.85" hidden="false" customHeight="false" outlineLevel="0" collapsed="false">
      <c r="A3" s="2" t="s">
        <v>13</v>
      </c>
      <c r="B3" s="2" t="s">
        <v>8</v>
      </c>
      <c r="C3" s="2" t="s">
        <v>14</v>
      </c>
      <c r="D3" s="2" t="s">
        <v>10</v>
      </c>
      <c r="E3" s="3" t="s">
        <v>11</v>
      </c>
      <c r="F3" s="2" t="s">
        <v>15</v>
      </c>
      <c r="G3" s="2" t="s">
        <v>16</v>
      </c>
    </row>
    <row r="4" customFormat="false" ht="23.8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10</v>
      </c>
      <c r="E4" s="3" t="s">
        <v>11</v>
      </c>
      <c r="F4" s="2" t="s">
        <v>20</v>
      </c>
      <c r="G4" s="2"/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10</v>
      </c>
      <c r="E5" s="3" t="s">
        <v>11</v>
      </c>
      <c r="F5" s="2" t="s">
        <v>24</v>
      </c>
      <c r="G5" s="2"/>
    </row>
    <row r="6" customFormat="false" ht="23.8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10</v>
      </c>
      <c r="E6" s="3" t="s">
        <v>11</v>
      </c>
      <c r="F6" s="2" t="s">
        <v>28</v>
      </c>
      <c r="G6" s="2"/>
    </row>
    <row r="7" customFormat="false" ht="23.85" hidden="false" customHeight="false" outlineLevel="0" collapsed="false">
      <c r="A7" s="2" t="s">
        <v>29</v>
      </c>
      <c r="B7" s="2" t="s">
        <v>26</v>
      </c>
      <c r="C7" s="2" t="s">
        <v>30</v>
      </c>
      <c r="D7" s="2" t="s">
        <v>10</v>
      </c>
      <c r="E7" s="3" t="s">
        <v>11</v>
      </c>
      <c r="F7" s="2" t="s">
        <v>31</v>
      </c>
      <c r="G7" s="2"/>
    </row>
    <row r="8" customFormat="false" ht="46.2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10</v>
      </c>
      <c r="E8" s="3" t="s">
        <v>35</v>
      </c>
      <c r="F8" s="2" t="s">
        <v>36</v>
      </c>
      <c r="G8" s="2" t="s">
        <v>37</v>
      </c>
    </row>
    <row r="9" customFormat="false" ht="23.85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10</v>
      </c>
      <c r="E9" s="3" t="s">
        <v>11</v>
      </c>
      <c r="F9" s="2" t="s">
        <v>41</v>
      </c>
      <c r="G9" s="2"/>
    </row>
    <row r="10" customFormat="false" ht="15" hidden="false" customHeight="false" outlineLevel="0" collapsed="false">
      <c r="A10" s="2" t="s">
        <v>42</v>
      </c>
      <c r="B10" s="2" t="s">
        <v>39</v>
      </c>
      <c r="C10" s="2" t="s">
        <v>43</v>
      </c>
      <c r="D10" s="2" t="s">
        <v>10</v>
      </c>
      <c r="E10" s="3" t="s">
        <v>11</v>
      </c>
      <c r="F10" s="2" t="s">
        <v>44</v>
      </c>
      <c r="G10" s="2"/>
    </row>
    <row r="11" customFormat="false" ht="23.85" hidden="false" customHeight="false" outlineLevel="0" collapsed="false">
      <c r="A11" s="2" t="s">
        <v>45</v>
      </c>
      <c r="B11" s="2" t="s">
        <v>46</v>
      </c>
      <c r="C11" s="2" t="s">
        <v>47</v>
      </c>
      <c r="D11" s="2" t="s">
        <v>48</v>
      </c>
      <c r="E11" s="3" t="s">
        <v>11</v>
      </c>
      <c r="F11" s="2" t="s">
        <v>49</v>
      </c>
      <c r="G11" s="2" t="s">
        <v>50</v>
      </c>
    </row>
    <row r="12" customFormat="false" ht="15" hidden="false" customHeight="false" outlineLevel="0" collapsed="false">
      <c r="A12" s="2" t="s">
        <v>51</v>
      </c>
      <c r="B12" s="2" t="s">
        <v>46</v>
      </c>
      <c r="C12" s="2" t="s">
        <v>52</v>
      </c>
      <c r="D12" s="2" t="s">
        <v>48</v>
      </c>
      <c r="E12" s="3" t="s">
        <v>11</v>
      </c>
      <c r="F12" s="2" t="s">
        <v>53</v>
      </c>
      <c r="G12" s="2"/>
    </row>
    <row r="13" customFormat="false" ht="23.85" hidden="false" customHeight="false" outlineLevel="0" collapsed="false">
      <c r="A13" s="2" t="s">
        <v>54</v>
      </c>
      <c r="B13" s="2" t="s">
        <v>46</v>
      </c>
      <c r="C13" s="2" t="s">
        <v>55</v>
      </c>
      <c r="D13" s="2" t="s">
        <v>48</v>
      </c>
      <c r="E13" s="3" t="s">
        <v>11</v>
      </c>
      <c r="F13" s="2" t="s">
        <v>56</v>
      </c>
      <c r="G13" s="2"/>
    </row>
    <row r="15" customFormat="false" ht="15" hidden="false" customHeight="false" outlineLevel="0" collapsed="false">
      <c r="A15" s="4" t="s">
        <v>57</v>
      </c>
    </row>
  </sheetData>
  <autoFilter ref="A1:G13"/>
  <conditionalFormatting sqref="E2:E13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"Not done"</formula>
    </cfRule>
  </conditionalFormatting>
  <dataValidations count="1">
    <dataValidation allowBlank="false" errorStyle="stop" operator="between" showDropDown="false" showErrorMessage="false" showInputMessage="false" sqref="E2:E13" type="list">
      <formula1>"Done,Partial,Not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5" t="s">
        <v>58</v>
      </c>
    </row>
    <row r="3" customFormat="false" ht="15" hidden="false" customHeight="false" outlineLevel="0" collapsed="false">
      <c r="A3" s="6" t="s">
        <v>59</v>
      </c>
      <c r="B3" s="7" t="s">
        <v>11</v>
      </c>
      <c r="C3" s="7" t="s">
        <v>35</v>
      </c>
      <c r="D3" s="7" t="s">
        <v>60</v>
      </c>
      <c r="E3" s="7" t="s">
        <v>61</v>
      </c>
    </row>
    <row r="4" customFormat="false" ht="15" hidden="false" customHeight="false" outlineLevel="0" collapsed="false">
      <c r="A4" s="8" t="s">
        <v>10</v>
      </c>
      <c r="B4" s="9" t="n">
        <f aca="false">COUNTIFS(Requirements!$D$2:$D$13,$A4,Requirements!$E$2:$E$13,"Done")</f>
        <v>8</v>
      </c>
      <c r="C4" s="9" t="n">
        <f aca="false">COUNTIFS(Requirements!$D$2:$D$13,$A4,Requirements!$E$2:$E$13,"Partial")</f>
        <v>1</v>
      </c>
      <c r="D4" s="9" t="n">
        <f aca="false">COUNTIFS(Requirements!$D$2:$D$13,$A4,Requirements!$E$2:$E$13,"Not done")</f>
        <v>0</v>
      </c>
      <c r="E4" s="9" t="n">
        <f aca="false">SUM(B4:D4)</f>
        <v>9</v>
      </c>
    </row>
    <row r="5" customFormat="false" ht="15" hidden="false" customHeight="false" outlineLevel="0" collapsed="false">
      <c r="A5" s="8" t="s">
        <v>48</v>
      </c>
      <c r="B5" s="9" t="n">
        <f aca="false">COUNTIFS(Requirements!$D$2:$D$13,$A5,Requirements!$E$2:$E$13,"Done")</f>
        <v>3</v>
      </c>
      <c r="C5" s="9" t="n">
        <f aca="false">COUNTIFS(Requirements!$D$2:$D$13,$A5,Requirements!$E$2:$E$13,"Partial")</f>
        <v>0</v>
      </c>
      <c r="D5" s="9" t="n">
        <f aca="false">COUNTIFS(Requirements!$D$2:$D$13,$A5,Requirements!$E$2:$E$13,"Not done")</f>
        <v>0</v>
      </c>
      <c r="E5" s="9" t="n">
        <f aca="false">SUM(B5:D5)</f>
        <v>3</v>
      </c>
    </row>
    <row r="6" customFormat="false" ht="15" hidden="false" customHeight="false" outlineLevel="0" collapsed="false">
      <c r="A6" s="10" t="s">
        <v>62</v>
      </c>
      <c r="B6" s="11" t="n">
        <f aca="false">SUM(B4:B5)</f>
        <v>11</v>
      </c>
      <c r="C6" s="11" t="n">
        <f aca="false">SUM(C4:C5)</f>
        <v>1</v>
      </c>
      <c r="D6" s="11" t="n">
        <f aca="false">SUM(D4:D5)</f>
        <v>0</v>
      </c>
      <c r="E6" s="11" t="n">
        <f aca="false">SUM(E4:E5)</f>
        <v>12</v>
      </c>
    </row>
    <row r="7" customFormat="false" ht="15" hidden="false" customHeight="false" outlineLevel="0" collapsed="false">
      <c r="A7" s="12"/>
      <c r="B7" s="13"/>
      <c r="C7" s="13"/>
      <c r="D7" s="13"/>
      <c r="E7" s="13"/>
    </row>
    <row r="8" customFormat="false" ht="15" hidden="false" customHeight="false" outlineLevel="0" collapsed="false">
      <c r="A8" s="12" t="s">
        <v>63</v>
      </c>
      <c r="B8" s="14" t="n">
        <f aca="false">IF(E6=0,0,B6/E6)</f>
        <v>0.916666666666667</v>
      </c>
      <c r="C8" s="13"/>
      <c r="D8" s="13"/>
      <c r="E8" s="13"/>
    </row>
    <row r="9" customFormat="false" ht="15" hidden="false" customHeight="false" outlineLevel="0" collapsed="false">
      <c r="A9" s="12" t="s">
        <v>64</v>
      </c>
      <c r="B9" s="14" t="n">
        <f aca="false">IF(E4=0,0,B4/E4)</f>
        <v>0.888888888888889</v>
      </c>
      <c r="C9" s="13"/>
      <c r="D9" s="13"/>
      <c r="E9" s="13"/>
    </row>
    <row r="11" customFormat="false" ht="15" hidden="false" customHeight="false" outlineLevel="0" collapsed="false">
      <c r="A11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2026-10-15T08:28:33Z</dcterms:created>
  <dc:creator>openpyxl</dc:creator>
  <dc:description/>
  <dc:language>en-US</dc:language>
  <cp:lastModifiedBy/>
  <dcterms:modified xsi:type="dcterms:W3CDTF">2026-10-15T08:28:33Z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